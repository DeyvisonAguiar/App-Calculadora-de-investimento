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yvison\Desktop\Curso DIO\"/>
    </mc:Choice>
  </mc:AlternateContent>
  <xr:revisionPtr revIDLastSave="0" documentId="13_ncr:1_{E88F347A-9A0C-489E-BD9D-CE7418188D49}" xr6:coauthVersionLast="47" xr6:coauthVersionMax="47" xr10:uidLastSave="{00000000-0000-0000-0000-000000000000}"/>
  <bookViews>
    <workbookView xWindow="-120" yWindow="-120" windowWidth="29040" windowHeight="15720" xr2:uid="{12F2EC09-89AB-4784-AABD-65A994F02ECF}"/>
  </bookViews>
  <sheets>
    <sheet name="Case_dividendos" sheetId="1" r:id="rId1"/>
    <sheet name="Planilha1" sheetId="2" r:id="rId2"/>
  </sheets>
  <definedNames>
    <definedName name="Aporte">Case_dividendos!$D$16</definedName>
    <definedName name="dividendos_mensal">Case_dividendos!$D$20</definedName>
    <definedName name="patrimonio_acumulado">Case_dividendos!$D$19</definedName>
    <definedName name="qtd_ano">Case_dividendos!$D$17</definedName>
    <definedName name="rendimento_carteira">Case_dividendos!$D$12</definedName>
    <definedName name="Salario">Case_dividendos!$D$11</definedName>
    <definedName name="sugestao_investimento">Case_dividendos!$D$13</definedName>
    <definedName name="taxa_mensal">Case_dividendos!$D$18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C32" i="1" s="1"/>
  <c r="C36" i="1"/>
  <c r="J6" i="2"/>
  <c r="A17" i="2"/>
  <c r="A18" i="2"/>
  <c r="A19" i="2"/>
  <c r="A20" i="2"/>
  <c r="A21" i="2"/>
  <c r="A16" i="2"/>
  <c r="A11" i="2"/>
  <c r="A12" i="2"/>
  <c r="A13" i="2"/>
  <c r="A14" i="2"/>
  <c r="A15" i="2"/>
  <c r="A10" i="2"/>
  <c r="A5" i="2"/>
  <c r="A6" i="2"/>
  <c r="A7" i="2"/>
  <c r="A8" i="2"/>
  <c r="A9" i="2"/>
  <c r="A4" i="2"/>
  <c r="C37" i="1" s="1"/>
  <c r="C24" i="1"/>
  <c r="D24" i="1" s="1"/>
  <c r="C25" i="1"/>
  <c r="D25" i="1" s="1"/>
  <c r="C26" i="1"/>
  <c r="D26" i="1" s="1"/>
  <c r="C27" i="1"/>
  <c r="D27" i="1" s="1"/>
  <c r="C23" i="1"/>
  <c r="D23" i="1" s="1"/>
  <c r="D19" i="1"/>
  <c r="D20" i="1" s="1"/>
  <c r="D37" i="1" l="1"/>
  <c r="D36" i="1"/>
  <c r="C41" i="1"/>
  <c r="D41" i="1" s="1"/>
  <c r="C40" i="1"/>
  <c r="D40" i="1" s="1"/>
  <c r="C39" i="1"/>
  <c r="D39" i="1" s="1"/>
  <c r="C38" i="1"/>
  <c r="D38" i="1" s="1"/>
  <c r="D42" i="1" l="1"/>
</calcChain>
</file>

<file path=xl/sharedStrings.xml><?xml version="1.0" encoding="utf-8"?>
<sst xmlns="http://schemas.openxmlformats.org/spreadsheetml/2006/main" count="71" uniqueCount="35">
  <si>
    <t>Quanto devo investir por mês?</t>
  </si>
  <si>
    <t>por quantos anos ?</t>
  </si>
  <si>
    <t>Taxa de rendimento mensal ?</t>
  </si>
  <si>
    <t>Quanto de patrimônio acumulado?</t>
  </si>
  <si>
    <t>Quanto é os dividentos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</si>
  <si>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</si>
  <si>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</si>
  <si>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</si>
  <si>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</si>
  <si>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</si>
  <si>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</si>
  <si>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</si>
  <si>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</si>
  <si>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 xml:space="preserve">Configurações </t>
  </si>
  <si>
    <t>Salário</t>
  </si>
  <si>
    <t>Rendimento Carteira</t>
  </si>
  <si>
    <t>Sugestão de Investimento</t>
  </si>
  <si>
    <t>Perfil</t>
  </si>
  <si>
    <t>TIPO DE FII</t>
  </si>
  <si>
    <t xml:space="preserve">PERFIL </t>
  </si>
  <si>
    <t>PAPEL</t>
  </si>
  <si>
    <t>TIJOLO</t>
  </si>
  <si>
    <t xml:space="preserve">HÍBRIDOS </t>
  </si>
  <si>
    <t>FOFs</t>
  </si>
  <si>
    <t xml:space="preserve">DESENVOLMVIMENTO </t>
  </si>
  <si>
    <t>HOTELARIAS</t>
  </si>
  <si>
    <t>MODERADO</t>
  </si>
  <si>
    <t>AGRESSIVO</t>
  </si>
  <si>
    <t>CHAVE</t>
  </si>
  <si>
    <t>VALOR A SER INVESTIDO POR MÊS</t>
  </si>
  <si>
    <t>PERCENTUAL SUGERIDO</t>
  </si>
  <si>
    <t>VALORES</t>
  </si>
  <si>
    <t>%</t>
  </si>
  <si>
    <t>MODERADO-TIJOLO</t>
  </si>
  <si>
    <t>CONSERVADOR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</si>
</sst>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0"/>
      <name val="Segoe UI"/>
      <family val="2"/>
    </font>
    <font>
      <b/>
      <sz val="20"/>
      <color theme="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8AB1A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7" borderId="0" applyNumberFormat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4" fillId="2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165" fontId="6" fillId="0" borderId="12" xfId="1" applyNumberFormat="1" applyFont="1" applyBorder="1" applyAlignment="1">
      <alignment horizontal="center"/>
    </xf>
    <xf numFmtId="164" fontId="6" fillId="0" borderId="15" xfId="0" applyNumberFormat="1" applyFont="1" applyBorder="1" applyAlignment="1">
      <alignment horizontal="center"/>
    </xf>
    <xf numFmtId="165" fontId="7" fillId="0" borderId="12" xfId="1" applyNumberFormat="1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10" fontId="7" fillId="0" borderId="15" xfId="2" applyNumberFormat="1" applyFont="1" applyBorder="1" applyAlignment="1">
      <alignment horizontal="center"/>
    </xf>
    <xf numFmtId="8" fontId="7" fillId="3" borderId="15" xfId="0" applyNumberFormat="1" applyFont="1" applyFill="1" applyBorder="1" applyAlignment="1">
      <alignment horizontal="center"/>
    </xf>
    <xf numFmtId="8" fontId="7" fillId="3" borderId="18" xfId="0" applyNumberFormat="1" applyFont="1" applyFill="1" applyBorder="1" applyAlignment="1">
      <alignment horizontal="center"/>
    </xf>
    <xf numFmtId="0" fontId="5" fillId="4" borderId="8" xfId="0" applyFont="1" applyFill="1" applyBorder="1" applyAlignment="1">
      <alignment horizontal="left" indent="2"/>
    </xf>
    <xf numFmtId="8" fontId="6" fillId="4" borderId="19" xfId="0" applyNumberFormat="1" applyFont="1" applyFill="1" applyBorder="1" applyAlignment="1">
      <alignment horizontal="center"/>
    </xf>
    <xf numFmtId="8" fontId="6" fillId="4" borderId="9" xfId="0" applyNumberFormat="1" applyFont="1" applyFill="1" applyBorder="1" applyAlignment="1">
      <alignment horizontal="center"/>
    </xf>
    <xf numFmtId="0" fontId="5" fillId="4" borderId="3" xfId="0" applyFont="1" applyFill="1" applyBorder="1" applyAlignment="1">
      <alignment horizontal="left" indent="2"/>
    </xf>
    <xf numFmtId="8" fontId="6" fillId="4" borderId="20" xfId="0" applyNumberFormat="1" applyFont="1" applyFill="1" applyBorder="1" applyAlignment="1">
      <alignment horizontal="center"/>
    </xf>
    <xf numFmtId="8" fontId="6" fillId="4" borderId="4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left" indent="2"/>
    </xf>
    <xf numFmtId="8" fontId="6" fillId="4" borderId="21" xfId="0" applyNumberFormat="1" applyFont="1" applyFill="1" applyBorder="1" applyAlignment="1">
      <alignment horizontal="center"/>
    </xf>
    <xf numFmtId="8" fontId="6" fillId="4" borderId="6" xfId="0" applyNumberFormat="1" applyFont="1" applyFill="1" applyBorder="1" applyAlignment="1">
      <alignment horizontal="center"/>
    </xf>
    <xf numFmtId="165" fontId="6" fillId="3" borderId="18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165" fontId="11" fillId="0" borderId="0" xfId="1" applyNumberFormat="1" applyFont="1" applyAlignment="1">
      <alignment horizontal="center"/>
    </xf>
    <xf numFmtId="0" fontId="11" fillId="9" borderId="0" xfId="0" applyFont="1" applyFill="1" applyAlignment="1">
      <alignment horizontal="center"/>
    </xf>
    <xf numFmtId="0" fontId="0" fillId="9" borderId="0" xfId="0" applyFill="1"/>
    <xf numFmtId="44" fontId="0" fillId="9" borderId="0" xfId="1" applyFont="1" applyFill="1"/>
    <xf numFmtId="0" fontId="0" fillId="0" borderId="22" xfId="0" applyBorder="1"/>
    <xf numFmtId="0" fontId="0" fillId="0" borderId="22" xfId="0" applyBorder="1" applyAlignment="1">
      <alignment horizontal="center"/>
    </xf>
    <xf numFmtId="9" fontId="9" fillId="6" borderId="0" xfId="2" applyFont="1" applyFill="1"/>
    <xf numFmtId="0" fontId="2" fillId="8" borderId="1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0" fillId="0" borderId="23" xfId="0" applyBorder="1"/>
    <xf numFmtId="9" fontId="0" fillId="0" borderId="24" xfId="0" applyNumberFormat="1" applyBorder="1" applyAlignment="1">
      <alignment horizontal="center"/>
    </xf>
    <xf numFmtId="0" fontId="0" fillId="0" borderId="25" xfId="0" applyBorder="1"/>
    <xf numFmtId="9" fontId="0" fillId="0" borderId="26" xfId="0" applyNumberFormat="1" applyBorder="1" applyAlignment="1">
      <alignment horizontal="center"/>
    </xf>
    <xf numFmtId="0" fontId="12" fillId="10" borderId="0" xfId="3" applyFont="1" applyFill="1"/>
    <xf numFmtId="0" fontId="12" fillId="10" borderId="0" xfId="3" applyFont="1" applyFill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indent="2"/>
    </xf>
    <xf numFmtId="0" fontId="5" fillId="3" borderId="11" xfId="0" applyFont="1" applyFill="1" applyBorder="1" applyAlignment="1">
      <alignment horizontal="left" indent="2"/>
    </xf>
    <xf numFmtId="0" fontId="5" fillId="3" borderId="13" xfId="0" applyFont="1" applyFill="1" applyBorder="1" applyAlignment="1">
      <alignment horizontal="left" indent="2"/>
    </xf>
    <xf numFmtId="0" fontId="5" fillId="3" borderId="14" xfId="0" applyFont="1" applyFill="1" applyBorder="1" applyAlignment="1">
      <alignment horizontal="left" indent="2"/>
    </xf>
    <xf numFmtId="0" fontId="5" fillId="3" borderId="16" xfId="0" applyFont="1" applyFill="1" applyBorder="1" applyAlignment="1">
      <alignment horizontal="left" indent="2"/>
    </xf>
    <xf numFmtId="0" fontId="5" fillId="3" borderId="17" xfId="0" applyFont="1" applyFill="1" applyBorder="1" applyAlignment="1">
      <alignment horizontal="left" indent="2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left" indent="2"/>
    </xf>
    <xf numFmtId="0" fontId="5" fillId="0" borderId="11" xfId="0" applyFont="1" applyBorder="1" applyAlignment="1">
      <alignment horizontal="left" indent="2"/>
    </xf>
    <xf numFmtId="0" fontId="5" fillId="0" borderId="13" xfId="0" applyFont="1" applyBorder="1" applyAlignment="1">
      <alignment horizontal="left" indent="2"/>
    </xf>
    <xf numFmtId="0" fontId="5" fillId="0" borderId="14" xfId="0" applyFont="1" applyBorder="1" applyAlignment="1">
      <alignment horizontal="left" indent="2"/>
    </xf>
    <xf numFmtId="0" fontId="8" fillId="3" borderId="13" xfId="0" applyFont="1" applyFill="1" applyBorder="1" applyAlignment="1">
      <alignment horizontal="left" indent="2"/>
    </xf>
    <xf numFmtId="0" fontId="8" fillId="3" borderId="14" xfId="0" applyFont="1" applyFill="1" applyBorder="1" applyAlignment="1">
      <alignment horizontal="left" indent="2"/>
    </xf>
    <xf numFmtId="0" fontId="8" fillId="3" borderId="16" xfId="0" applyFont="1" applyFill="1" applyBorder="1" applyAlignment="1">
      <alignment horizontal="left" indent="2"/>
    </xf>
    <xf numFmtId="0" fontId="8" fillId="3" borderId="17" xfId="0" applyFont="1" applyFill="1" applyBorder="1" applyAlignment="1">
      <alignment horizontal="left" indent="2"/>
    </xf>
    <xf numFmtId="0" fontId="0" fillId="0" borderId="27" xfId="0" applyBorder="1" applyAlignment="1">
      <alignment horizontal="center"/>
    </xf>
    <xf numFmtId="9" fontId="0" fillId="0" borderId="28" xfId="0" applyNumberFormat="1" applyBorder="1" applyAlignment="1">
      <alignment horizontal="center"/>
    </xf>
    <xf numFmtId="165" fontId="0" fillId="0" borderId="29" xfId="0" applyNumberFormat="1" applyBorder="1"/>
    <xf numFmtId="0" fontId="0" fillId="0" borderId="30" xfId="0" applyBorder="1" applyAlignment="1">
      <alignment horizontal="center"/>
    </xf>
    <xf numFmtId="9" fontId="0" fillId="0" borderId="31" xfId="0" applyNumberFormat="1" applyBorder="1" applyAlignment="1">
      <alignment horizontal="center"/>
    </xf>
    <xf numFmtId="165" fontId="0" fillId="0" borderId="32" xfId="0" applyNumberFormat="1" applyBorder="1"/>
    <xf numFmtId="0" fontId="0" fillId="0" borderId="33" xfId="0" applyBorder="1" applyAlignment="1">
      <alignment horizontal="center"/>
    </xf>
    <xf numFmtId="9" fontId="0" fillId="0" borderId="34" xfId="0" applyNumberFormat="1" applyBorder="1" applyAlignment="1">
      <alignment horizontal="center"/>
    </xf>
    <xf numFmtId="165" fontId="0" fillId="0" borderId="35" xfId="0" applyNumberFormat="1" applyBorder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C8AB1A"/>
      <color rgb="FFEDDA76"/>
      <color rgb="FFFFE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Case_dividendos!$C$35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A8-4BAF-A9D7-1B51604262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A8-4BAF-A9D7-1B51604262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A8-4BAF-A9D7-1B51604262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A8-4BAF-A9D7-1B51604262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DA8-4BAF-A9D7-1B516042622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DA8-4BAF-A9D7-1B51604262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Case_dividendos!$B$36:$B$41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 </c:v>
                </c:pt>
                <c:pt idx="3">
                  <c:v>FOFs</c:v>
                </c:pt>
                <c:pt idx="4">
                  <c:v>DESENVOLMVIMENTO </c:v>
                </c:pt>
                <c:pt idx="5">
                  <c:v>HOTELARIAS</c:v>
                </c:pt>
              </c:strCache>
            </c:strRef>
          </c:cat>
          <c:val>
            <c:numRef>
              <c:f>Case_dividendos!$C$36:$C$41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B-4A16-8F18-D12D5B7EC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85725</xdr:colOff>
      <xdr:row>0</xdr:row>
      <xdr:rowOff>57149</xdr:rowOff>
    </xdr:from>
    <xdr:to>
      <xdr:col>4</xdr:col>
      <xdr:colOff>31750</xdr:colOff>
      <xdr:row>8</xdr:row>
      <xdr:rowOff>57150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7C35C4F-6EE0-6506-9DF3-EBFD9B381E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511" b="24182"/>
        <a:stretch>
          <a:fillRect/>
        </a:stretch>
      </xdr:blipFill>
      <xdr:spPr>
        <a:xfrm>
          <a:off x="85725" y="57149"/>
          <a:ext cx="6878108" cy="1524001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42</xdr:row>
      <xdr:rowOff>62439</xdr:rowOff>
    </xdr:from>
    <xdr:to>
      <xdr:col>3</xdr:col>
      <xdr:colOff>931333</xdr:colOff>
      <xdr:row>63</xdr:row>
      <xdr:rowOff>105832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C01C94-31DD-64AF-7318-DBA26C2F1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078B-2DD4-4CC1-9A66-563D99430B2B}">
  <dimension ref="A9:H63"/>
  <sheetViews>
    <sheetView showGridLines="0" tabSelected="1" topLeftCell="A9" zoomScale="80" zoomScaleNormal="80" workbookViewId="0">
      <selection activeCell="E23" sqref="E23"/>
    </sheetView>
  </sheetViews>
  <sheetFormatPr defaultColWidth="0" defaultRowHeight="15" x14ac:dyDescent="0.25"/>
  <cols>
    <col min="1" max="1" width="4.42578125" customWidth="1"/>
    <col min="2" max="2" width="56.28515625" customWidth="1"/>
    <col min="3" max="3" width="26.140625" customWidth="1"/>
    <col min="4" max="4" width="17" customWidth="1"/>
    <col min="5" max="6" width="5.28515625" customWidth="1"/>
    <col min="7" max="7" width="4.28515625" customWidth="1"/>
    <col min="8" max="8" width="5.5703125" customWidth="1"/>
    <col min="9" max="16384" width="9.140625" hidden="1"/>
  </cols>
  <sheetData>
    <row r="9" spans="2:4" ht="15.75" thickBot="1" x14ac:dyDescent="0.3"/>
    <row r="10" spans="2:4" ht="26.25" x14ac:dyDescent="0.25">
      <c r="B10" s="40" t="s">
        <v>13</v>
      </c>
      <c r="C10" s="41"/>
      <c r="D10" s="3"/>
    </row>
    <row r="11" spans="2:4" ht="17.25" x14ac:dyDescent="0.3">
      <c r="B11" s="42" t="s">
        <v>14</v>
      </c>
      <c r="C11" s="43"/>
      <c r="D11" s="4">
        <v>3200</v>
      </c>
    </row>
    <row r="12" spans="2:4" ht="17.25" x14ac:dyDescent="0.3">
      <c r="B12" s="44" t="s">
        <v>15</v>
      </c>
      <c r="C12" s="45"/>
      <c r="D12" s="5">
        <v>0.01</v>
      </c>
    </row>
    <row r="13" spans="2:4" ht="18" thickBot="1" x14ac:dyDescent="0.35">
      <c r="B13" s="46" t="s">
        <v>16</v>
      </c>
      <c r="C13" s="47"/>
      <c r="D13" s="20">
        <f>D11*30%</f>
        <v>960</v>
      </c>
    </row>
    <row r="14" spans="2:4" ht="15.75" thickBot="1" x14ac:dyDescent="0.3"/>
    <row r="15" spans="2:4" ht="26.25" x14ac:dyDescent="0.25">
      <c r="B15" s="48" t="s">
        <v>5</v>
      </c>
      <c r="C15" s="49"/>
      <c r="D15" s="2"/>
    </row>
    <row r="16" spans="2:4" ht="17.25" x14ac:dyDescent="0.3">
      <c r="B16" s="52" t="s">
        <v>0</v>
      </c>
      <c r="C16" s="53"/>
      <c r="D16" s="6">
        <v>650</v>
      </c>
    </row>
    <row r="17" spans="1:4" ht="16.5" customHeight="1" x14ac:dyDescent="0.3">
      <c r="B17" s="54" t="s">
        <v>1</v>
      </c>
      <c r="C17" s="55"/>
      <c r="D17" s="7">
        <v>5</v>
      </c>
    </row>
    <row r="18" spans="1:4" ht="17.25" x14ac:dyDescent="0.3">
      <c r="B18" s="54" t="s">
        <v>2</v>
      </c>
      <c r="C18" s="55"/>
      <c r="D18" s="8">
        <v>0.01</v>
      </c>
    </row>
    <row r="19" spans="1:4" ht="17.25" x14ac:dyDescent="0.3">
      <c r="B19" s="56" t="s">
        <v>3</v>
      </c>
      <c r="C19" s="57"/>
      <c r="D19" s="9">
        <f>FV(D18,D17*12,D16*-1)</f>
        <v>53085.285406665935</v>
      </c>
    </row>
    <row r="20" spans="1:4" ht="18" thickBot="1" x14ac:dyDescent="0.35">
      <c r="B20" s="58" t="s">
        <v>4</v>
      </c>
      <c r="C20" s="59"/>
      <c r="D20" s="10">
        <f>D19*$D$12</f>
        <v>530.85285406665935</v>
      </c>
    </row>
    <row r="21" spans="1:4" ht="15.75" thickBot="1" x14ac:dyDescent="0.3"/>
    <row r="22" spans="1:4" ht="30.75" x14ac:dyDescent="0.25">
      <c r="B22" s="50" t="s">
        <v>11</v>
      </c>
      <c r="C22" s="51"/>
      <c r="D22" s="39" t="s">
        <v>12</v>
      </c>
    </row>
    <row r="23" spans="1:4" ht="17.25" x14ac:dyDescent="0.3">
      <c r="A23" s="1">
        <v>2</v>
      </c>
      <c r="B23" s="11" t="s">
        <v>6</v>
      </c>
      <c r="C23" s="12">
        <f>FV($D$18,$A23*12,$D$16*-1)</f>
        <v>17532.752154574475</v>
      </c>
      <c r="D23" s="13">
        <f>C23*$D$12</f>
        <v>175.32752154574476</v>
      </c>
    </row>
    <row r="24" spans="1:4" ht="17.25" x14ac:dyDescent="0.3">
      <c r="A24" s="1">
        <v>5</v>
      </c>
      <c r="B24" s="14" t="s">
        <v>7</v>
      </c>
      <c r="C24" s="15">
        <f>FV($D$18,$A24*12,$D$16*-1)</f>
        <v>53085.285406665935</v>
      </c>
      <c r="D24" s="16">
        <f>C24*$D$12</f>
        <v>530.85285406665935</v>
      </c>
    </row>
    <row r="25" spans="1:4" ht="17.25" x14ac:dyDescent="0.3">
      <c r="A25" s="1">
        <v>10</v>
      </c>
      <c r="B25" s="14" t="s">
        <v>8</v>
      </c>
      <c r="C25" s="15">
        <f>FV($D$18,$A25*12,$D$16*-1)</f>
        <v>149525.14814728854</v>
      </c>
      <c r="D25" s="16">
        <f>C25*$D$12</f>
        <v>1495.2514814728854</v>
      </c>
    </row>
    <row r="26" spans="1:4" ht="17.25" x14ac:dyDescent="0.3">
      <c r="A26" s="1">
        <v>20</v>
      </c>
      <c r="B26" s="14" t="s">
        <v>9</v>
      </c>
      <c r="C26" s="15">
        <f>FV($D$18,$A26*12,$D$16*-1)</f>
        <v>643015.98750178597</v>
      </c>
      <c r="D26" s="16">
        <f>C26*$D$12</f>
        <v>6430.15987501786</v>
      </c>
    </row>
    <row r="27" spans="1:4" ht="18" thickBot="1" x14ac:dyDescent="0.35">
      <c r="A27" s="1">
        <v>30</v>
      </c>
      <c r="B27" s="17" t="s">
        <v>10</v>
      </c>
      <c r="C27" s="18">
        <f>FV($D$18,$A27*12,$D$16*-1)</f>
        <v>2271726.6862995289</v>
      </c>
      <c r="D27" s="19">
        <f>C27*$D$12</f>
        <v>22717.26686299529</v>
      </c>
    </row>
    <row r="31" spans="1:4" x14ac:dyDescent="0.25">
      <c r="B31" s="37" t="s">
        <v>17</v>
      </c>
      <c r="C31" s="38" t="s">
        <v>27</v>
      </c>
      <c r="D31" s="37"/>
    </row>
    <row r="32" spans="1:4" x14ac:dyDescent="0.25">
      <c r="B32" s="22" t="s">
        <v>29</v>
      </c>
      <c r="C32" s="23">
        <f>D13</f>
        <v>960</v>
      </c>
    </row>
    <row r="35" spans="2:4" x14ac:dyDescent="0.25">
      <c r="B35" s="24" t="s">
        <v>18</v>
      </c>
      <c r="C35" s="24" t="s">
        <v>30</v>
      </c>
      <c r="D35" s="24" t="s">
        <v>31</v>
      </c>
    </row>
    <row r="36" spans="2:4" ht="15.75" thickBot="1" x14ac:dyDescent="0.3">
      <c r="B36" s="60" t="s">
        <v>20</v>
      </c>
      <c r="C36" s="61">
        <f>VLOOKUP($C$31&amp;"-"&amp;B36,Planilha1!$A:$D,4,FALSE)</f>
        <v>0.5</v>
      </c>
      <c r="D36" s="62">
        <f>$C$32*C36</f>
        <v>480</v>
      </c>
    </row>
    <row r="37" spans="2:4" ht="15.75" thickBot="1" x14ac:dyDescent="0.3">
      <c r="B37" s="63" t="s">
        <v>21</v>
      </c>
      <c r="C37" s="64">
        <f>VLOOKUP($C$31&amp;"-"&amp;B37,Planilha1!$A:$D,4,FALSE)</f>
        <v>0.1</v>
      </c>
      <c r="D37" s="65">
        <f t="shared" ref="D37:D41" si="0">$C$32*C37</f>
        <v>96</v>
      </c>
    </row>
    <row r="38" spans="2:4" ht="15.75" thickBot="1" x14ac:dyDescent="0.3">
      <c r="B38" s="63" t="s">
        <v>22</v>
      </c>
      <c r="C38" s="64">
        <f>VLOOKUP($C$31&amp;"-"&amp;B38,Planilha1!$A:$D,4,FALSE)</f>
        <v>0.05</v>
      </c>
      <c r="D38" s="65">
        <f t="shared" si="0"/>
        <v>48</v>
      </c>
    </row>
    <row r="39" spans="2:4" ht="15.75" thickBot="1" x14ac:dyDescent="0.3">
      <c r="B39" s="63" t="s">
        <v>23</v>
      </c>
      <c r="C39" s="64">
        <f>VLOOKUP($C$31&amp;"-"&amp;B39,Planilha1!$A:$D,4,FALSE)</f>
        <v>0.05</v>
      </c>
      <c r="D39" s="65">
        <f t="shared" si="0"/>
        <v>48</v>
      </c>
    </row>
    <row r="40" spans="2:4" ht="15.75" thickBot="1" x14ac:dyDescent="0.3">
      <c r="B40" s="63" t="s">
        <v>24</v>
      </c>
      <c r="C40" s="64">
        <f>VLOOKUP($C$31&amp;"-"&amp;B40,Planilha1!$A:$D,4,FALSE)</f>
        <v>0.2</v>
      </c>
      <c r="D40" s="65">
        <f t="shared" si="0"/>
        <v>192</v>
      </c>
    </row>
    <row r="41" spans="2:4" x14ac:dyDescent="0.25">
      <c r="B41" s="66" t="s">
        <v>25</v>
      </c>
      <c r="C41" s="67">
        <f>VLOOKUP($C$31&amp;"-"&amp;B41,Planilha1!$A:$D,4,FALSE)</f>
        <v>0.1</v>
      </c>
      <c r="D41" s="68">
        <f t="shared" si="0"/>
        <v>96</v>
      </c>
    </row>
    <row r="42" spans="2:4" x14ac:dyDescent="0.25">
      <c r="B42" s="25"/>
      <c r="C42" s="25"/>
      <c r="D42" s="26">
        <f>SUM(D36:D41)</f>
        <v>960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</sheetData>
  <mergeCells count="11">
    <mergeCell ref="B22:C22"/>
    <mergeCell ref="B16:C16"/>
    <mergeCell ref="B17:C17"/>
    <mergeCell ref="B18:C18"/>
    <mergeCell ref="B19:C19"/>
    <mergeCell ref="B20:C20"/>
    <mergeCell ref="B10:C10"/>
    <mergeCell ref="B11:C11"/>
    <mergeCell ref="B12:C12"/>
    <mergeCell ref="B13:C13"/>
    <mergeCell ref="B15:C15"/>
  </mergeCells>
  <dataValidations count="1">
    <dataValidation type="list" allowBlank="1" showInputMessage="1" showErrorMessage="1" sqref="C31" xr:uid="{B2DC0215-BA40-448D-B55F-1F83CC08F4D6}">
      <formula1>"AGRESSIVO, MODERADO, CONSERVADOR"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7DEA-3E68-4EB8-9168-C5DF4AA461B8}">
  <dimension ref="A2:J21"/>
  <sheetViews>
    <sheetView workbookViewId="0">
      <selection activeCell="D25" sqref="D25"/>
    </sheetView>
  </sheetViews>
  <sheetFormatPr defaultRowHeight="15" x14ac:dyDescent="0.25"/>
  <cols>
    <col min="1" max="1" width="34" bestFit="1" customWidth="1"/>
    <col min="2" max="2" width="20.140625" customWidth="1"/>
    <col min="3" max="3" width="19.42578125" customWidth="1"/>
    <col min="9" max="9" width="19" customWidth="1"/>
  </cols>
  <sheetData>
    <row r="2" spans="1:10" ht="15.75" thickBot="1" x14ac:dyDescent="0.3"/>
    <row r="3" spans="1:10" x14ac:dyDescent="0.25">
      <c r="A3" s="30" t="s">
        <v>28</v>
      </c>
      <c r="B3" s="31" t="s">
        <v>19</v>
      </c>
      <c r="C3" s="31" t="s">
        <v>18</v>
      </c>
      <c r="D3" s="32" t="s">
        <v>32</v>
      </c>
    </row>
    <row r="4" spans="1:10" x14ac:dyDescent="0.25">
      <c r="A4" s="33" t="str">
        <f>$B$4&amp;"-"&amp;C4</f>
        <v>CONSERVADOR-PAPEL</v>
      </c>
      <c r="B4" t="s">
        <v>34</v>
      </c>
      <c r="C4" s="21" t="s">
        <v>20</v>
      </c>
      <c r="D4" s="34">
        <v>0.3</v>
      </c>
    </row>
    <row r="5" spans="1:10" x14ac:dyDescent="0.25">
      <c r="A5" s="33" t="str">
        <f t="shared" ref="A5:A9" si="0">$B$4&amp;"-"&amp;C5</f>
        <v>CONSERVADOR-TIJOLO</v>
      </c>
      <c r="B5" t="s">
        <v>34</v>
      </c>
      <c r="C5" s="21" t="s">
        <v>21</v>
      </c>
      <c r="D5" s="34">
        <v>0.5</v>
      </c>
      <c r="J5" t="s">
        <v>32</v>
      </c>
    </row>
    <row r="6" spans="1:10" x14ac:dyDescent="0.25">
      <c r="A6" s="33" t="str">
        <f t="shared" si="0"/>
        <v xml:space="preserve">CONSERVADOR-HÍBRIDOS </v>
      </c>
      <c r="B6" t="s">
        <v>34</v>
      </c>
      <c r="C6" s="21" t="s">
        <v>22</v>
      </c>
      <c r="D6" s="34">
        <v>0.1</v>
      </c>
      <c r="I6" t="s">
        <v>33</v>
      </c>
      <c r="J6" s="29">
        <f>VLOOKUP(I6,$A$3:$D$21,4,)</f>
        <v>0.4</v>
      </c>
    </row>
    <row r="7" spans="1:10" x14ac:dyDescent="0.25">
      <c r="A7" s="33" t="str">
        <f t="shared" si="0"/>
        <v>CONSERVADOR-FOFs</v>
      </c>
      <c r="B7" t="s">
        <v>34</v>
      </c>
      <c r="C7" s="21" t="s">
        <v>23</v>
      </c>
      <c r="D7" s="34">
        <v>0.1</v>
      </c>
    </row>
    <row r="8" spans="1:10" x14ac:dyDescent="0.25">
      <c r="A8" s="33" t="str">
        <f t="shared" si="0"/>
        <v xml:space="preserve">CONSERVADOR-DESENVOLMVIMENTO </v>
      </c>
      <c r="B8" t="s">
        <v>34</v>
      </c>
      <c r="C8" s="21" t="s">
        <v>24</v>
      </c>
      <c r="D8" s="34">
        <v>0</v>
      </c>
      <c r="E8" s="21"/>
    </row>
    <row r="9" spans="1:10" ht="15.75" thickBot="1" x14ac:dyDescent="0.3">
      <c r="A9" s="35" t="str">
        <f t="shared" si="0"/>
        <v>CONSERVADOR-HOTELARIAS</v>
      </c>
      <c r="B9" s="27" t="s">
        <v>34</v>
      </c>
      <c r="C9" s="28" t="s">
        <v>25</v>
      </c>
      <c r="D9" s="36">
        <v>0</v>
      </c>
      <c r="E9" s="21"/>
    </row>
    <row r="10" spans="1:10" x14ac:dyDescent="0.25">
      <c r="A10" s="33" t="str">
        <f>$B$10&amp;"-"&amp;C10</f>
        <v>MODERADO-PAPEL</v>
      </c>
      <c r="B10" t="s">
        <v>26</v>
      </c>
      <c r="C10" s="21" t="s">
        <v>20</v>
      </c>
      <c r="D10" s="34">
        <v>0.32</v>
      </c>
    </row>
    <row r="11" spans="1:10" x14ac:dyDescent="0.25">
      <c r="A11" s="33" t="str">
        <f t="shared" ref="A11:A15" si="1">$B$10&amp;"-"&amp;C11</f>
        <v>MODERADO-TIJOLO</v>
      </c>
      <c r="B11" t="s">
        <v>26</v>
      </c>
      <c r="C11" s="21" t="s">
        <v>21</v>
      </c>
      <c r="D11" s="34">
        <v>0.4</v>
      </c>
    </row>
    <row r="12" spans="1:10" x14ac:dyDescent="0.25">
      <c r="A12" s="33" t="str">
        <f t="shared" si="1"/>
        <v xml:space="preserve">MODERADO-HÍBRIDOS </v>
      </c>
      <c r="B12" t="s">
        <v>26</v>
      </c>
      <c r="C12" s="21" t="s">
        <v>22</v>
      </c>
      <c r="D12" s="34">
        <v>0.08</v>
      </c>
    </row>
    <row r="13" spans="1:10" x14ac:dyDescent="0.25">
      <c r="A13" s="33" t="str">
        <f t="shared" si="1"/>
        <v>MODERADO-FOFs</v>
      </c>
      <c r="B13" t="s">
        <v>26</v>
      </c>
      <c r="C13" s="21" t="s">
        <v>23</v>
      </c>
      <c r="D13" s="34">
        <v>0.1</v>
      </c>
    </row>
    <row r="14" spans="1:10" x14ac:dyDescent="0.25">
      <c r="A14" s="33" t="str">
        <f t="shared" si="1"/>
        <v xml:space="preserve">MODERADO-DESENVOLMVIMENTO </v>
      </c>
      <c r="B14" t="s">
        <v>26</v>
      </c>
      <c r="C14" s="21" t="s">
        <v>24</v>
      </c>
      <c r="D14" s="34">
        <v>0.1</v>
      </c>
    </row>
    <row r="15" spans="1:10" ht="15.75" thickBot="1" x14ac:dyDescent="0.3">
      <c r="A15" s="35" t="str">
        <f t="shared" si="1"/>
        <v>MODERADO-HOTELARIAS</v>
      </c>
      <c r="B15" s="27" t="s">
        <v>26</v>
      </c>
      <c r="C15" s="28" t="s">
        <v>25</v>
      </c>
      <c r="D15" s="36">
        <v>0</v>
      </c>
    </row>
    <row r="16" spans="1:10" x14ac:dyDescent="0.25">
      <c r="A16" s="33" t="str">
        <f>$B$16&amp;"-"&amp;C16</f>
        <v>AGRESSIVO-PAPEL</v>
      </c>
      <c r="B16" t="s">
        <v>27</v>
      </c>
      <c r="C16" s="21" t="s">
        <v>20</v>
      </c>
      <c r="D16" s="34">
        <v>0.5</v>
      </c>
    </row>
    <row r="17" spans="1:4" x14ac:dyDescent="0.25">
      <c r="A17" s="33" t="str">
        <f t="shared" ref="A17:A21" si="2">$B$16&amp;"-"&amp;C17</f>
        <v>AGRESSIVO-TIJOLO</v>
      </c>
      <c r="B17" t="s">
        <v>27</v>
      </c>
      <c r="C17" s="21" t="s">
        <v>21</v>
      </c>
      <c r="D17" s="34">
        <v>0.1</v>
      </c>
    </row>
    <row r="18" spans="1:4" x14ac:dyDescent="0.25">
      <c r="A18" s="33" t="str">
        <f t="shared" si="2"/>
        <v xml:space="preserve">AGRESSIVO-HÍBRIDOS </v>
      </c>
      <c r="B18" t="s">
        <v>27</v>
      </c>
      <c r="C18" s="21" t="s">
        <v>22</v>
      </c>
      <c r="D18" s="34">
        <v>0.05</v>
      </c>
    </row>
    <row r="19" spans="1:4" x14ac:dyDescent="0.25">
      <c r="A19" s="33" t="str">
        <f t="shared" si="2"/>
        <v>AGRESSIVO-FOFs</v>
      </c>
      <c r="B19" t="s">
        <v>27</v>
      </c>
      <c r="C19" s="21" t="s">
        <v>23</v>
      </c>
      <c r="D19" s="34">
        <v>0.05</v>
      </c>
    </row>
    <row r="20" spans="1:4" x14ac:dyDescent="0.25">
      <c r="A20" s="33" t="str">
        <f t="shared" si="2"/>
        <v xml:space="preserve">AGRESSIVO-DESENVOLMVIMENTO </v>
      </c>
      <c r="B20" t="s">
        <v>27</v>
      </c>
      <c r="C20" s="21" t="s">
        <v>24</v>
      </c>
      <c r="D20" s="34">
        <v>0.2</v>
      </c>
    </row>
    <row r="21" spans="1:4" ht="15.75" thickBot="1" x14ac:dyDescent="0.3">
      <c r="A21" s="35" t="str">
        <f t="shared" si="2"/>
        <v>AGRESSIVO-HOTELARIAS</v>
      </c>
      <c r="B21" s="27" t="s">
        <v>27</v>
      </c>
      <c r="C21" s="28" t="s">
        <v>25</v>
      </c>
      <c r="D21" s="3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Case_dividendos</vt:lpstr>
      <vt:lpstr>Planilha1</vt:lpstr>
      <vt:lpstr>Aporte</vt:lpstr>
      <vt:lpstr>dividendos_mensal</vt:lpstr>
      <vt:lpstr>patrimonio_acumulado</vt:lpstr>
      <vt:lpstr>qtd_ano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Deyvison</dc:creator>
  <cp:lastModifiedBy>Deyvison</cp:lastModifiedBy>
  <dcterms:created xsi:type="dcterms:W3CDTF">2026-08-03T23:47:40Z</dcterms:created>
  <dcterms:modified xsi:type="dcterms:W3CDTF">2026-08-06T22:51:51Z</dcterms:modified>
</cp:coreProperties>
</file>